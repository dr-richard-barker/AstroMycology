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hidden="1" localSheetId="0" name="_xlnm._FilterDatabase">Data!$A$1:$D$31</definedName>
  </definedNames>
  <calcPr/>
  <extLst>
    <ext uri="GoogleSheetsCustomDataVersion2">
      <go:sheetsCustomData xmlns:go="http://customooxmlschemas.google.com/" r:id="rId5" roundtripDataChecksum="mW418SB7ml6TrEf/iNvbBUmS9DQyi5f3nQXTVv4Nt3w="/>
    </ext>
  </extLst>
</workbook>
</file>

<file path=xl/sharedStrings.xml><?xml version="1.0" encoding="utf-8"?>
<sst xmlns="http://schemas.openxmlformats.org/spreadsheetml/2006/main" count="158" uniqueCount="76">
  <si>
    <t>TUbe</t>
  </si>
  <si>
    <t>Wet Weight (g)</t>
  </si>
  <si>
    <t>Dry weght  (g)</t>
  </si>
  <si>
    <t xml:space="preserve">Logical  sequence </t>
  </si>
  <si>
    <t>Week</t>
  </si>
  <si>
    <t>week</t>
  </si>
  <si>
    <t>Aerage wet</t>
  </si>
  <si>
    <t xml:space="preserve">dev sta  wet </t>
  </si>
  <si>
    <t>Ave Dry wet</t>
  </si>
  <si>
    <t>dev sta  dry</t>
  </si>
  <si>
    <t>Area tube  (Cm2)</t>
  </si>
  <si>
    <t>Area tube  (m2)</t>
  </si>
  <si>
    <t>Cm2</t>
  </si>
  <si>
    <t>m2</t>
  </si>
  <si>
    <t>Aerage fresh (g/m2)</t>
  </si>
  <si>
    <t>dev sta  fresh (g/m2)</t>
  </si>
  <si>
    <t>Ave Dried (g/m2)</t>
  </si>
  <si>
    <t>dev sta  dried (g/m2)</t>
  </si>
  <si>
    <t>Temperature difference</t>
  </si>
  <si>
    <r>
      <rPr>
        <rFont val="Aptos Narrow"/>
        <color rgb="FF000000"/>
        <sz val="10.0"/>
      </rPr>
      <t>∆</t>
    </r>
    <r>
      <rPr>
        <rFont val="Arial"/>
        <color rgb="FF000000"/>
        <sz val="10.0"/>
      </rPr>
      <t>Growth fresh</t>
    </r>
  </si>
  <si>
    <t>∆Growth dried</t>
  </si>
  <si>
    <t>(∆T-)weekly</t>
  </si>
  <si>
    <t>∆G/∆T (Fresh)</t>
  </si>
  <si>
    <t>∆G/∆T (Dried)</t>
  </si>
  <si>
    <t xml:space="preserve"> </t>
  </si>
  <si>
    <t>Fresh (segment 1 LINTEST)</t>
  </si>
  <si>
    <t>Discritptive Statistics</t>
  </si>
  <si>
    <t>Slope =</t>
  </si>
  <si>
    <t xml:space="preserve"> = intercept</t>
  </si>
  <si>
    <t>Average</t>
  </si>
  <si>
    <t>Standard error of slope =</t>
  </si>
  <si>
    <t xml:space="preserve"> = Standard error of y-intercept</t>
  </si>
  <si>
    <t>Standard Dev</t>
  </si>
  <si>
    <t>R² value =</t>
  </si>
  <si>
    <t xml:space="preserve"> = Standard error for the y estimate</t>
  </si>
  <si>
    <t>Variance</t>
  </si>
  <si>
    <t xml:space="preserve"> F statistic=</t>
  </si>
  <si>
    <t xml:space="preserve"> =Degrees of freedom</t>
  </si>
  <si>
    <t>Wet Weight (g/m2)</t>
  </si>
  <si>
    <t>Dry weght  (g/m2)</t>
  </si>
  <si>
    <t>Volume (cm^3)</t>
  </si>
  <si>
    <t>Density (g/cm^2)</t>
  </si>
  <si>
    <t>Regression sum of squares =</t>
  </si>
  <si>
    <t xml:space="preserve"> =Residual sum of squares</t>
  </si>
  <si>
    <t>210.51</t>
  </si>
  <si>
    <t>221.65</t>
  </si>
  <si>
    <t>Fresh (segment 2 LINTEST)</t>
  </si>
  <si>
    <t>216.37</t>
  </si>
  <si>
    <t>245.13</t>
  </si>
  <si>
    <t>194.13</t>
  </si>
  <si>
    <t>201.27</t>
  </si>
  <si>
    <t>220.12</t>
  </si>
  <si>
    <t>236.53</t>
  </si>
  <si>
    <t>195.45</t>
  </si>
  <si>
    <t>Fresh (segment 3 LINTEST)</t>
  </si>
  <si>
    <t>233.43</t>
  </si>
  <si>
    <t>237.11</t>
  </si>
  <si>
    <t>223.68</t>
  </si>
  <si>
    <t>259.30</t>
  </si>
  <si>
    <t>210.04</t>
  </si>
  <si>
    <t>323.72</t>
  </si>
  <si>
    <t>247.15</t>
  </si>
  <si>
    <t>268.59</t>
  </si>
  <si>
    <t>237.07</t>
  </si>
  <si>
    <t>294.65</t>
  </si>
  <si>
    <t>224.01</t>
  </si>
  <si>
    <t>267.41</t>
  </si>
  <si>
    <t>295.59</t>
  </si>
  <si>
    <t>234.95</t>
  </si>
  <si>
    <t>279.17</t>
  </si>
  <si>
    <t>275.21</t>
  </si>
  <si>
    <t>332.18</t>
  </si>
  <si>
    <t>260.55</t>
  </si>
  <si>
    <t>280.48</t>
  </si>
  <si>
    <t>274.10</t>
  </si>
  <si>
    <t>226.53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</si>
</sst>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0000"/>
    <numFmt numFmtId="166" formatCode="0.000"/>
    <numFmt numFmtId="167" formatCode="#,##0.00000"/>
  </numFmts>
  <fonts count="6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u/>
      <sz val="10.0"/>
      <color theme="10"/>
      <name val="Arial"/>
    </font>
    <font>
      <color theme="1"/>
      <name val="Arial"/>
      <scheme val="minor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4" xfId="0" applyBorder="1" applyFill="1" applyFont="1" applyNumberFormat="1"/>
    <xf borderId="0" fillId="0" fontId="1" numFmtId="164" xfId="0" applyFont="1" applyNumberFormat="1"/>
    <xf borderId="0" fillId="0" fontId="1" numFmtId="165" xfId="0" applyFont="1" applyNumberFormat="1"/>
    <xf borderId="0" fillId="0" fontId="1" numFmtId="2" xfId="0" applyFont="1" applyNumberFormat="1"/>
    <xf borderId="0" fillId="0" fontId="2" numFmtId="164" xfId="0" applyFont="1" applyNumberFormat="1"/>
    <xf borderId="0" fillId="0" fontId="1" numFmtId="4" xfId="0" applyFont="1" applyNumberFormat="1"/>
    <xf borderId="2" fillId="0" fontId="3" numFmtId="0" xfId="0" applyBorder="1" applyFont="1"/>
    <xf borderId="2" fillId="0" fontId="2" numFmtId="0" xfId="0" applyBorder="1" applyFont="1"/>
    <xf borderId="0" fillId="0" fontId="2" numFmtId="0" xfId="0" applyFont="1"/>
    <xf borderId="0" fillId="0" fontId="4" numFmtId="0" xfId="0" applyFont="1"/>
    <xf borderId="0" fillId="0" fontId="2" numFmtId="165" xfId="0" applyFont="1" applyNumberFormat="1"/>
    <xf borderId="0" fillId="0" fontId="5" numFmtId="0" xfId="0" applyFont="1"/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66" xfId="0" applyFont="1" applyNumberFormat="1"/>
    <xf borderId="0" fillId="0" fontId="4" numFmtId="11" xfId="0" applyAlignment="1" applyFont="1" applyNumberFormat="1">
      <alignment readingOrder="0"/>
    </xf>
    <xf borderId="0" fillId="0" fontId="4" numFmtId="4" xfId="0" applyAlignment="1" applyFont="1" applyNumberFormat="1">
      <alignment horizontal="right" readingOrder="0"/>
    </xf>
    <xf borderId="0" fillId="0" fontId="4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Data!$AB$17:$AB$26</c:f>
            </c:numRef>
          </c:xVal>
          <c:yVal>
            <c:numRef>
              <c:f>Data!$AC$17:$AC$26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167892"/>
        <c:axId val="1737443617"/>
      </c:scatterChart>
      <c:valAx>
        <c:axId val="11121678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737443617"/>
      </c:valAx>
      <c:valAx>
        <c:axId val="17374436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2167892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752475</xdr:colOff>
      <xdr:row>31</xdr:row>
      <xdr:rowOff>28575</xdr:rowOff>
    </xdr:from>
    <xdr:ext cx="7248525" cy="4048125"/>
    <xdr:graphicFrame>
      <xdr:nvGraphicFramePr>
        <xdr:cNvPr id="186811261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xF7uuSOsU_FmPyc0FPF_APfj2aTpscy/edit?usp=drive_link&amp;ouid=113868409320842827138&amp;rtpof=true&amp;sd=true" TargetMode="External"/><Relationship Id="rId2" Type="http://schemas.openxmlformats.org/officeDocument/2006/relationships/hyperlink" Target="https://docs.google.com/spreadsheets/d/1FxF7uuSOsU_FmPyc0FPF_APfj2aTpscy/edit?usp=drive_link&amp;ouid=113868409320842827138&amp;rtpof=true&amp;sd=tru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7.5"/>
    <col customWidth="1" min="3" max="3" width="14.63"/>
    <col customWidth="1" min="4" max="4" width="17.38"/>
    <col customWidth="1" min="5" max="5" width="12.63"/>
    <col customWidth="1" min="6" max="6" width="15.63"/>
    <col customWidth="1" min="13" max="13" width="21.38"/>
    <col customWidth="1" min="16" max="16" width="15.88"/>
    <col customWidth="1" min="17" max="17" width="20.63"/>
    <col customWidth="1" min="18" max="18" width="19.13"/>
    <col customWidth="1" min="19" max="19" width="16.63"/>
    <col customWidth="1" min="20" max="20" width="19.88"/>
    <col customWidth="1" min="23" max="23" width="21.88"/>
    <col customWidth="1" min="26" max="26" width="19.63"/>
    <col customWidth="1" min="27" max="27" width="17.0"/>
    <col customWidth="1" min="29" max="29" width="15.38"/>
    <col customWidth="1" min="30" max="30" width="14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/>
      <c r="H1" s="1"/>
      <c r="I1" s="1"/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ht="15.75" customHeight="1">
      <c r="A2" s="2">
        <v>2.0</v>
      </c>
      <c r="B2" s="3">
        <v>1.1901</v>
      </c>
      <c r="C2" s="4">
        <v>0.1298</v>
      </c>
      <c r="D2" s="1">
        <v>1.0</v>
      </c>
      <c r="E2" s="1">
        <v>1.0</v>
      </c>
      <c r="F2" s="5"/>
      <c r="G2" s="1"/>
      <c r="H2" s="1"/>
      <c r="I2" s="1"/>
      <c r="J2" s="1">
        <v>1.0</v>
      </c>
      <c r="K2" s="6">
        <f>AVERAGE(B2:B4)</f>
        <v>1.211333333</v>
      </c>
      <c r="L2" s="6">
        <f>STDEVA(B2:B4)</f>
        <v>0.6442124986</v>
      </c>
      <c r="M2" s="6">
        <f>AVERAGE(C2:C4)</f>
        <v>0.1340733333</v>
      </c>
      <c r="N2" s="6">
        <f>STDEVA(C2:C4)</f>
        <v>0.07300386382</v>
      </c>
    </row>
    <row r="3" ht="15.75" customHeight="1">
      <c r="A3" s="7">
        <v>3.0</v>
      </c>
      <c r="B3" s="3">
        <v>0.578</v>
      </c>
      <c r="C3" s="4">
        <v>0.0633</v>
      </c>
      <c r="D3" s="1">
        <v>2.0</v>
      </c>
      <c r="E3" s="1">
        <v>1.0</v>
      </c>
      <c r="F3" s="5"/>
      <c r="G3" s="1"/>
      <c r="H3" s="1"/>
      <c r="I3" s="1"/>
      <c r="J3" s="1">
        <v>2.0</v>
      </c>
      <c r="K3" s="6">
        <f>AVERAGE(B5:B7)</f>
        <v>7.3029</v>
      </c>
      <c r="L3" s="6">
        <f>STDEVA(B5:B7)</f>
        <v>0.985368322</v>
      </c>
      <c r="M3" s="6">
        <f>AVERAGE(C5:C7)</f>
        <v>0.8247633333</v>
      </c>
      <c r="N3" s="6">
        <f>STDEVA(C5:C7)</f>
        <v>0.09585267358</v>
      </c>
    </row>
    <row r="4" ht="15.75" customHeight="1">
      <c r="A4" s="7">
        <v>4.0</v>
      </c>
      <c r="B4" s="3">
        <v>1.8659</v>
      </c>
      <c r="C4" s="4">
        <v>0.20912</v>
      </c>
      <c r="D4" s="1">
        <v>3.0</v>
      </c>
      <c r="E4" s="1">
        <v>1.0</v>
      </c>
      <c r="F4" s="5"/>
      <c r="G4" s="1"/>
      <c r="H4" s="1"/>
      <c r="I4" s="1"/>
      <c r="J4" s="1">
        <v>3.0</v>
      </c>
      <c r="K4" s="6">
        <f>AVERAGE(B8:B10)</f>
        <v>13.47626667</v>
      </c>
      <c r="L4" s="6">
        <f>STDEVA(B8:B10)</f>
        <v>1.27650914</v>
      </c>
      <c r="M4" s="6">
        <f>AVERAGE(C8:C10)</f>
        <v>1.4939</v>
      </c>
      <c r="N4" s="6">
        <f>STDEVA(C8:C10)</f>
        <v>0.1616702508</v>
      </c>
      <c r="P4" s="8" t="s">
        <v>10</v>
      </c>
      <c r="Q4" s="9">
        <v>162.15</v>
      </c>
    </row>
    <row r="5" ht="15.75" customHeight="1">
      <c r="A5" s="7">
        <v>1.0</v>
      </c>
      <c r="B5" s="3">
        <v>6.3365</v>
      </c>
      <c r="C5" s="4">
        <v>0.7285</v>
      </c>
      <c r="D5" s="1">
        <v>4.0</v>
      </c>
      <c r="E5" s="1">
        <v>2.0</v>
      </c>
      <c r="F5" s="5"/>
      <c r="G5" s="1"/>
      <c r="H5" s="1"/>
      <c r="I5" s="1"/>
      <c r="J5" s="1">
        <v>4.0</v>
      </c>
      <c r="K5" s="6">
        <f>AVERAGE(B11:B13)</f>
        <v>16.54783333</v>
      </c>
      <c r="L5" s="6">
        <f>STDEVA(B11:B13)</f>
        <v>2.110416581</v>
      </c>
      <c r="M5" s="6">
        <f>AVERAGE(C11:C13)</f>
        <v>1.827433333</v>
      </c>
      <c r="N5" s="6">
        <f>STDEVA(C11:C13)</f>
        <v>0.2238222584</v>
      </c>
    </row>
    <row r="6" ht="15.75" customHeight="1">
      <c r="A6" s="7">
        <v>9.0</v>
      </c>
      <c r="B6" s="3">
        <v>7.266</v>
      </c>
      <c r="C6" s="4">
        <v>0.82559</v>
      </c>
      <c r="D6" s="1">
        <v>5.0</v>
      </c>
      <c r="E6" s="1">
        <v>2.0</v>
      </c>
      <c r="F6" s="5"/>
      <c r="G6" s="1"/>
      <c r="H6" s="1"/>
      <c r="I6" s="1"/>
      <c r="J6" s="1">
        <v>5.0</v>
      </c>
      <c r="K6" s="6">
        <f>AVERAGE(B14:B16)</f>
        <v>19.3524</v>
      </c>
      <c r="L6" s="6">
        <f>STDEVA(B14:B16)</f>
        <v>2.073668423</v>
      </c>
      <c r="M6" s="6">
        <f>AVERAGE(C14:C16)</f>
        <v>2.3071</v>
      </c>
      <c r="N6" s="6">
        <f>STDEVA(C14:C16)</f>
        <v>0.2344727489</v>
      </c>
      <c r="P6" s="8" t="s">
        <v>11</v>
      </c>
      <c r="Q6" s="9">
        <v>0.016215</v>
      </c>
    </row>
    <row r="7" ht="15.75" customHeight="1">
      <c r="A7" s="7">
        <v>10.0</v>
      </c>
      <c r="B7" s="3">
        <v>8.3062</v>
      </c>
      <c r="C7" s="4">
        <v>0.9202</v>
      </c>
      <c r="D7" s="1">
        <v>6.0</v>
      </c>
      <c r="E7" s="1">
        <v>2.0</v>
      </c>
      <c r="F7" s="5"/>
      <c r="G7" s="1"/>
      <c r="H7" s="1"/>
      <c r="I7" s="1"/>
      <c r="J7" s="1">
        <v>6.0</v>
      </c>
      <c r="K7" s="6">
        <f>AVERAGE(B17:B19)</f>
        <v>23.79716667</v>
      </c>
      <c r="L7" s="6">
        <f>STDEVA(B17:B19)</f>
        <v>2.7701574</v>
      </c>
      <c r="M7" s="6">
        <f>AVERAGE(C17:C19)</f>
        <v>2.651966667</v>
      </c>
      <c r="N7" s="6">
        <f>STDEVA(C17:C19)</f>
        <v>0.2577610198</v>
      </c>
    </row>
    <row r="8" ht="15.75" customHeight="1">
      <c r="A8" s="7">
        <v>5.0</v>
      </c>
      <c r="B8" s="3">
        <v>12.6456</v>
      </c>
      <c r="C8" s="4">
        <v>1.3845</v>
      </c>
      <c r="D8" s="1">
        <v>7.0</v>
      </c>
      <c r="E8" s="1">
        <v>3.0</v>
      </c>
      <c r="F8" s="5"/>
      <c r="G8" s="1"/>
      <c r="H8" s="1"/>
      <c r="I8" s="1"/>
      <c r="J8" s="1">
        <v>7.0</v>
      </c>
      <c r="K8" s="6">
        <f>AVERAGE(B20:B22)</f>
        <v>26.14525</v>
      </c>
      <c r="L8" s="6">
        <f>STDEVA(B20:B22)</f>
        <v>2.407641402</v>
      </c>
      <c r="M8" s="6">
        <f>AVERAGE(C20:C22)</f>
        <v>2.882066667</v>
      </c>
      <c r="N8" s="6">
        <f>STDEVA(C19:C21)</f>
        <v>0.3023898202</v>
      </c>
    </row>
    <row r="9" ht="15.75" customHeight="1">
      <c r="A9" s="7">
        <v>11.0</v>
      </c>
      <c r="B9" s="3">
        <v>14.9461</v>
      </c>
      <c r="C9" s="4">
        <v>1.6796</v>
      </c>
      <c r="D9" s="1">
        <v>8.0</v>
      </c>
      <c r="E9" s="1">
        <v>3.0</v>
      </c>
      <c r="F9" s="5"/>
      <c r="G9" s="1"/>
      <c r="H9" s="1"/>
      <c r="I9" s="1"/>
      <c r="J9" s="1">
        <v>8.0</v>
      </c>
      <c r="K9" s="6">
        <f>AVERAGE(B23:B25)</f>
        <v>27.5589</v>
      </c>
      <c r="L9" s="6">
        <f>STDEVA(B23:B25)</f>
        <v>2.141467042</v>
      </c>
      <c r="M9" s="6">
        <f>AVERAGE(C23:C25)</f>
        <v>2.906843333</v>
      </c>
      <c r="N9" s="6">
        <f>STDEVA(C23:C25)</f>
        <v>0.3791495373</v>
      </c>
    </row>
    <row r="10" ht="15.75" customHeight="1">
      <c r="A10" s="7">
        <v>22.0</v>
      </c>
      <c r="B10" s="1">
        <v>12.8371</v>
      </c>
      <c r="C10" s="4">
        <v>1.4176</v>
      </c>
      <c r="D10" s="1">
        <v>9.0</v>
      </c>
      <c r="E10" s="1">
        <v>3.0</v>
      </c>
      <c r="F10" s="5"/>
      <c r="G10" s="1"/>
      <c r="H10" s="1"/>
      <c r="I10" s="1"/>
      <c r="J10" s="1">
        <v>9.0</v>
      </c>
      <c r="K10" s="6">
        <f>AVERAGE(B26:B28)</f>
        <v>30.2822</v>
      </c>
      <c r="L10" s="6">
        <f>STDEVA(B26:B28)</f>
        <v>2.298403933</v>
      </c>
      <c r="M10" s="6">
        <f>AVERAGE(C26:C28)</f>
        <v>2.8381</v>
      </c>
      <c r="N10" s="6">
        <f>STDEVA(C26:C28)</f>
        <v>0.3591436621</v>
      </c>
    </row>
    <row r="11" ht="15.75" customHeight="1">
      <c r="A11" s="7">
        <v>6.0</v>
      </c>
      <c r="B11" s="1">
        <v>18.974</v>
      </c>
      <c r="C11" s="4">
        <v>2.0848</v>
      </c>
      <c r="D11" s="1">
        <v>10.0</v>
      </c>
      <c r="E11" s="1">
        <v>4.0</v>
      </c>
      <c r="F11" s="5"/>
      <c r="G11" s="1"/>
      <c r="H11" s="1"/>
      <c r="I11" s="1"/>
      <c r="J11" s="1">
        <v>10.0</v>
      </c>
      <c r="K11" s="6">
        <f>AVERAGE(B29:B31)</f>
        <v>29.3463</v>
      </c>
      <c r="L11" s="6">
        <f>STDEVA(B29:B31)</f>
        <v>4.921689561</v>
      </c>
      <c r="M11" s="6">
        <f>AVERAGE(C29:C31)</f>
        <v>2.956433333</v>
      </c>
      <c r="N11" s="6">
        <f>STDEVA(C29:C31)</f>
        <v>0.4145153475</v>
      </c>
    </row>
    <row r="12" ht="15.75" customHeight="1">
      <c r="A12" s="7">
        <v>7.0</v>
      </c>
      <c r="B12" s="1">
        <v>15.1369</v>
      </c>
      <c r="C12" s="4">
        <v>1.6783</v>
      </c>
      <c r="D12" s="1">
        <v>11.0</v>
      </c>
      <c r="E12" s="1">
        <v>4.0</v>
      </c>
      <c r="F12" s="5"/>
      <c r="K12" s="6"/>
      <c r="Q12" s="6">
        <f>450-831</f>
        <v>-381</v>
      </c>
    </row>
    <row r="13" ht="15.75" customHeight="1">
      <c r="A13" s="7">
        <v>8.0</v>
      </c>
      <c r="B13" s="3">
        <v>15.5326</v>
      </c>
      <c r="C13" s="1">
        <v>1.7192</v>
      </c>
      <c r="D13" s="1">
        <v>12.0</v>
      </c>
      <c r="E13" s="1">
        <v>4.0</v>
      </c>
      <c r="F13" s="5"/>
      <c r="K13" s="6"/>
    </row>
    <row r="14" ht="15.75" customHeight="1">
      <c r="A14" s="7">
        <v>12.0</v>
      </c>
      <c r="B14" s="3">
        <v>18.9732</v>
      </c>
      <c r="C14" s="4">
        <v>2.3969</v>
      </c>
      <c r="D14" s="1">
        <v>13.0</v>
      </c>
      <c r="E14" s="1">
        <v>5.0</v>
      </c>
      <c r="F14" s="5"/>
    </row>
    <row r="15" ht="15.75" customHeight="1">
      <c r="A15" s="7">
        <v>19.0</v>
      </c>
      <c r="B15" s="3">
        <v>17.4945</v>
      </c>
      <c r="C15" s="4">
        <v>2.041</v>
      </c>
      <c r="D15" s="1">
        <v>14.0</v>
      </c>
      <c r="E15" s="1">
        <v>5.0</v>
      </c>
      <c r="F15" s="5"/>
      <c r="G15" s="10"/>
      <c r="H15" s="10"/>
      <c r="I15" s="10"/>
      <c r="J15" s="10" t="s">
        <v>12</v>
      </c>
      <c r="P15" s="10" t="s">
        <v>13</v>
      </c>
    </row>
    <row r="16" ht="15.75" customHeight="1">
      <c r="A16" s="7">
        <v>29.0</v>
      </c>
      <c r="B16" s="3">
        <v>21.5895</v>
      </c>
      <c r="C16" s="4">
        <v>2.4834</v>
      </c>
      <c r="D16" s="1">
        <v>15.0</v>
      </c>
      <c r="E16" s="1">
        <v>5.0</v>
      </c>
      <c r="F16" s="5"/>
      <c r="G16" s="1"/>
      <c r="H16" s="1"/>
      <c r="I16" s="1"/>
      <c r="J16" s="1" t="s">
        <v>5</v>
      </c>
      <c r="K16" s="1" t="s">
        <v>6</v>
      </c>
      <c r="L16" s="1" t="s">
        <v>7</v>
      </c>
      <c r="M16" s="1" t="s">
        <v>8</v>
      </c>
      <c r="N16" s="1" t="s">
        <v>9</v>
      </c>
      <c r="P16" s="1" t="s">
        <v>5</v>
      </c>
      <c r="Q16" s="1" t="s">
        <v>14</v>
      </c>
      <c r="R16" s="1" t="s">
        <v>15</v>
      </c>
      <c r="S16" s="1" t="s">
        <v>16</v>
      </c>
      <c r="T16" s="1" t="s">
        <v>17</v>
      </c>
      <c r="W16" s="1" t="s">
        <v>18</v>
      </c>
      <c r="Y16" s="10" t="s">
        <v>5</v>
      </c>
      <c r="Z16" s="10" t="s">
        <v>19</v>
      </c>
      <c r="AA16" s="10" t="s">
        <v>20</v>
      </c>
      <c r="AB16" s="10" t="s">
        <v>21</v>
      </c>
      <c r="AC16" s="10" t="s">
        <v>22</v>
      </c>
      <c r="AD16" s="10" t="s">
        <v>23</v>
      </c>
    </row>
    <row r="17" ht="15.75" customHeight="1">
      <c r="A17" s="7">
        <v>23.0</v>
      </c>
      <c r="B17" s="3">
        <v>21.0412</v>
      </c>
      <c r="C17" s="1">
        <v>2.4164</v>
      </c>
      <c r="D17" s="1">
        <v>16.0</v>
      </c>
      <c r="E17" s="1">
        <v>6.0</v>
      </c>
      <c r="F17" s="5"/>
      <c r="G17" s="1"/>
      <c r="H17" s="1"/>
      <c r="I17" s="1"/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W17" s="1">
        <v>0.0</v>
      </c>
      <c r="Y17" s="11">
        <v>2.0</v>
      </c>
      <c r="Z17" s="6">
        <f t="shared" ref="Z17:Z26" si="3">Q18-Q17</f>
        <v>74.70449173</v>
      </c>
      <c r="AA17" s="6">
        <f t="shared" ref="AA17:AA26" si="4">S18-S17</f>
        <v>8.268475691</v>
      </c>
      <c r="AB17" s="11">
        <f t="shared" ref="AB17:AB26" si="5">W17 - W18</f>
        <v>-1.950686746</v>
      </c>
      <c r="AC17" s="11">
        <f t="shared" ref="AC17:AC26" si="6">Z17/AB17</f>
        <v>-38.29650859</v>
      </c>
      <c r="AD17" s="11">
        <f t="shared" ref="AD17:AD26" si="7">AA17/AB17</f>
        <v>-4.238751152</v>
      </c>
    </row>
    <row r="18" ht="15.75" customHeight="1">
      <c r="A18" s="7">
        <v>24.0</v>
      </c>
      <c r="B18" s="3">
        <v>26.5813</v>
      </c>
      <c r="C18" s="1">
        <v>2.9273</v>
      </c>
      <c r="D18" s="1">
        <v>17.0</v>
      </c>
      <c r="E18" s="1">
        <v>6.0</v>
      </c>
      <c r="F18" s="5"/>
      <c r="G18" s="1"/>
      <c r="H18" s="1"/>
      <c r="I18" s="1"/>
      <c r="J18" s="1">
        <v>2.0</v>
      </c>
      <c r="K18" s="6">
        <f t="shared" ref="K18:N18" si="1">K2/$Q$4</f>
        <v>0.007470449173</v>
      </c>
      <c r="L18" s="6">
        <f t="shared" si="1"/>
        <v>0.003972941712</v>
      </c>
      <c r="M18" s="12">
        <f t="shared" si="1"/>
        <v>0.0008268475691</v>
      </c>
      <c r="N18" s="6">
        <f t="shared" si="1"/>
        <v>0.0004502242604</v>
      </c>
      <c r="P18" s="1">
        <v>2.0</v>
      </c>
      <c r="Q18" s="6">
        <f t="shared" ref="Q18:T18" si="2">K2/$Q$6</f>
        <v>74.70449173</v>
      </c>
      <c r="R18" s="6">
        <f t="shared" si="2"/>
        <v>39.72941712</v>
      </c>
      <c r="S18" s="6">
        <f t="shared" si="2"/>
        <v>8.268475691</v>
      </c>
      <c r="T18" s="6">
        <f t="shared" si="2"/>
        <v>4.502242604</v>
      </c>
      <c r="W18" s="13">
        <v>1.950686746</v>
      </c>
      <c r="Y18" s="11">
        <v>3.0</v>
      </c>
      <c r="Z18" s="6">
        <f t="shared" si="3"/>
        <v>375.6747867</v>
      </c>
      <c r="AA18" s="6">
        <f t="shared" si="4"/>
        <v>42.59574468</v>
      </c>
      <c r="AB18" s="11">
        <f t="shared" si="5"/>
        <v>0.018692446</v>
      </c>
      <c r="AC18" s="11">
        <f t="shared" si="6"/>
        <v>20097.67939</v>
      </c>
      <c r="AD18" s="11">
        <f t="shared" si="7"/>
        <v>2278.767834</v>
      </c>
    </row>
    <row r="19" ht="15.75" customHeight="1">
      <c r="A19" s="7">
        <v>25.0</v>
      </c>
      <c r="B19" s="3">
        <v>23.769</v>
      </c>
      <c r="C19" s="4">
        <v>2.6122</v>
      </c>
      <c r="D19" s="1">
        <v>18.0</v>
      </c>
      <c r="E19" s="1">
        <v>6.0</v>
      </c>
      <c r="F19" s="5"/>
      <c r="G19" s="1"/>
      <c r="H19" s="1"/>
      <c r="I19" s="1"/>
      <c r="J19" s="1">
        <v>3.0</v>
      </c>
      <c r="K19" s="6">
        <f t="shared" ref="K19:N19" si="8">K3/$Q$4</f>
        <v>0.04503792784</v>
      </c>
      <c r="L19" s="6">
        <f t="shared" si="8"/>
        <v>0.006076893753</v>
      </c>
      <c r="M19" s="12">
        <f t="shared" si="8"/>
        <v>0.005086422037</v>
      </c>
      <c r="N19" s="6">
        <f t="shared" si="8"/>
        <v>0.0005911358223</v>
      </c>
      <c r="P19" s="1">
        <v>3.0</v>
      </c>
      <c r="Q19" s="6">
        <f t="shared" ref="Q19:T19" si="9">K3/$Q$6</f>
        <v>450.3792784</v>
      </c>
      <c r="R19" s="6">
        <f t="shared" si="9"/>
        <v>60.76893753</v>
      </c>
      <c r="S19" s="6">
        <f t="shared" si="9"/>
        <v>50.86422037</v>
      </c>
      <c r="T19" s="6">
        <f t="shared" si="9"/>
        <v>5.911358223</v>
      </c>
      <c r="W19" s="13">
        <v>1.9319943</v>
      </c>
      <c r="Y19" s="11">
        <v>4.0</v>
      </c>
      <c r="Z19" s="6">
        <f t="shared" si="3"/>
        <v>380.7194984</v>
      </c>
      <c r="AA19" s="6">
        <f t="shared" si="4"/>
        <v>41.26652277</v>
      </c>
      <c r="AB19" s="11">
        <f t="shared" si="5"/>
        <v>0.489469498</v>
      </c>
      <c r="AC19" s="11">
        <f t="shared" si="6"/>
        <v>777.8206813</v>
      </c>
      <c r="AD19" s="11">
        <f t="shared" si="7"/>
        <v>84.30867079</v>
      </c>
    </row>
    <row r="20" ht="15.75" customHeight="1">
      <c r="A20" s="7">
        <v>16.0</v>
      </c>
      <c r="B20" s="3">
        <v>23.84365</v>
      </c>
      <c r="C20" s="1">
        <v>2.6291</v>
      </c>
      <c r="D20" s="1">
        <v>19.0</v>
      </c>
      <c r="E20" s="1">
        <v>7.0</v>
      </c>
      <c r="F20" s="5"/>
      <c r="G20" s="1"/>
      <c r="H20" s="1"/>
      <c r="I20" s="1"/>
      <c r="J20" s="1">
        <v>4.0</v>
      </c>
      <c r="K20" s="6">
        <f t="shared" ref="K20:N20" si="10">K4/$Q$4</f>
        <v>0.08310987769</v>
      </c>
      <c r="L20" s="6">
        <f t="shared" si="10"/>
        <v>0.00787239679</v>
      </c>
      <c r="M20" s="12">
        <f t="shared" si="10"/>
        <v>0.009213074314</v>
      </c>
      <c r="N20" s="6">
        <f t="shared" si="10"/>
        <v>0.0009970413248</v>
      </c>
      <c r="P20" s="1">
        <v>4.0</v>
      </c>
      <c r="Q20" s="6">
        <f t="shared" ref="Q20:T20" si="11">K4/$Q$6</f>
        <v>831.0987769</v>
      </c>
      <c r="R20" s="6">
        <f t="shared" si="11"/>
        <v>78.7239679</v>
      </c>
      <c r="S20" s="6">
        <f t="shared" si="11"/>
        <v>92.13074314</v>
      </c>
      <c r="T20" s="6">
        <f t="shared" si="11"/>
        <v>9.970413248</v>
      </c>
      <c r="W20" s="13">
        <v>1.442524802</v>
      </c>
      <c r="Y20" s="11">
        <v>5.0</v>
      </c>
      <c r="Z20" s="6">
        <f t="shared" si="3"/>
        <v>189.4274848</v>
      </c>
      <c r="AA20" s="6">
        <f t="shared" si="4"/>
        <v>20.5694316</v>
      </c>
      <c r="AB20" s="11">
        <f t="shared" si="5"/>
        <v>0.227541413</v>
      </c>
      <c r="AC20" s="11">
        <f t="shared" si="6"/>
        <v>832.4967413</v>
      </c>
      <c r="AD20" s="11">
        <f t="shared" si="7"/>
        <v>90.39862821</v>
      </c>
    </row>
    <row r="21" ht="15.75" customHeight="1">
      <c r="A21" s="7">
        <v>18.0</v>
      </c>
      <c r="B21" s="3">
        <v>28.6465</v>
      </c>
      <c r="C21" s="1">
        <v>3.1442</v>
      </c>
      <c r="D21" s="1">
        <v>20.0</v>
      </c>
      <c r="E21" s="1">
        <v>7.0</v>
      </c>
      <c r="F21" s="5"/>
      <c r="G21" s="1"/>
      <c r="H21" s="1"/>
      <c r="I21" s="1"/>
      <c r="J21" s="1">
        <v>5.0</v>
      </c>
      <c r="K21" s="6">
        <f t="shared" ref="K21:N21" si="12">K5/$Q$4</f>
        <v>0.1020526262</v>
      </c>
      <c r="L21" s="6">
        <f t="shared" si="12"/>
        <v>0.01301521172</v>
      </c>
      <c r="M21" s="12">
        <f t="shared" si="12"/>
        <v>0.01127001747</v>
      </c>
      <c r="N21" s="6">
        <f t="shared" si="12"/>
        <v>0.001380340785</v>
      </c>
      <c r="P21" s="1">
        <v>5.0</v>
      </c>
      <c r="Q21" s="6">
        <f t="shared" ref="Q21:T21" si="13">K5/$Q$6</f>
        <v>1020.526262</v>
      </c>
      <c r="R21" s="6">
        <f t="shared" si="13"/>
        <v>130.1521172</v>
      </c>
      <c r="S21" s="6">
        <f t="shared" si="13"/>
        <v>112.7001747</v>
      </c>
      <c r="T21" s="6">
        <f t="shared" si="13"/>
        <v>13.80340785</v>
      </c>
      <c r="W21" s="13">
        <v>1.214983389</v>
      </c>
      <c r="Y21" s="11">
        <v>6.0</v>
      </c>
      <c r="Z21" s="6">
        <f t="shared" si="3"/>
        <v>172.9612499</v>
      </c>
      <c r="AA21" s="6">
        <f t="shared" si="4"/>
        <v>29.58166307</v>
      </c>
      <c r="AB21" s="11">
        <f t="shared" si="5"/>
        <v>0.267694968</v>
      </c>
      <c r="AC21" s="11">
        <f t="shared" si="6"/>
        <v>646.1131906</v>
      </c>
      <c r="AD21" s="11">
        <f t="shared" si="7"/>
        <v>110.5051144</v>
      </c>
    </row>
    <row r="22" ht="15.75" customHeight="1">
      <c r="A22" s="7">
        <v>21.0</v>
      </c>
      <c r="B22" s="3">
        <v>25.9456</v>
      </c>
      <c r="C22" s="1">
        <v>2.8729</v>
      </c>
      <c r="D22" s="1">
        <v>21.0</v>
      </c>
      <c r="E22" s="1">
        <v>7.0</v>
      </c>
      <c r="F22" s="5"/>
      <c r="G22" s="1"/>
      <c r="H22" s="1"/>
      <c r="I22" s="1"/>
      <c r="J22" s="1">
        <v>6.0</v>
      </c>
      <c r="K22" s="6">
        <f t="shared" ref="K22:N22" si="14">K6/$Q$4</f>
        <v>0.1193487512</v>
      </c>
      <c r="L22" s="6">
        <f t="shared" si="14"/>
        <v>0.01278858109</v>
      </c>
      <c r="M22" s="12">
        <f t="shared" si="14"/>
        <v>0.01422818378</v>
      </c>
      <c r="N22" s="6">
        <f t="shared" si="14"/>
        <v>0.001446023737</v>
      </c>
      <c r="P22" s="1">
        <v>6.0</v>
      </c>
      <c r="Q22" s="6">
        <f t="shared" ref="Q22:T22" si="15">K6/$Q$6</f>
        <v>1193.487512</v>
      </c>
      <c r="R22" s="6">
        <f t="shared" si="15"/>
        <v>127.8858109</v>
      </c>
      <c r="S22" s="6">
        <f t="shared" si="15"/>
        <v>142.2818378</v>
      </c>
      <c r="T22" s="6">
        <f t="shared" si="15"/>
        <v>14.46023737</v>
      </c>
      <c r="W22" s="13">
        <v>0.947288421</v>
      </c>
      <c r="Y22" s="11">
        <v>7.0</v>
      </c>
      <c r="Z22" s="6">
        <f t="shared" si="3"/>
        <v>274.114503</v>
      </c>
      <c r="AA22" s="6">
        <f t="shared" si="4"/>
        <v>21.26837291</v>
      </c>
      <c r="AB22" s="11">
        <f t="shared" si="5"/>
        <v>0.273908156</v>
      </c>
      <c r="AC22" s="11">
        <f t="shared" si="6"/>
        <v>1000.753344</v>
      </c>
      <c r="AD22" s="11">
        <f t="shared" si="7"/>
        <v>77.64782625</v>
      </c>
    </row>
    <row r="23" ht="15.75" customHeight="1">
      <c r="A23" s="7">
        <v>17.0</v>
      </c>
      <c r="B23" s="3">
        <v>25.1401</v>
      </c>
      <c r="C23" s="4">
        <v>2.64913</v>
      </c>
      <c r="D23" s="1">
        <v>22.0</v>
      </c>
      <c r="E23" s="1">
        <v>8.0</v>
      </c>
      <c r="F23" s="5"/>
      <c r="G23" s="1"/>
      <c r="H23" s="1"/>
      <c r="I23" s="1"/>
      <c r="J23" s="1">
        <v>7.0</v>
      </c>
      <c r="K23" s="6">
        <f t="shared" ref="K23:N23" si="16">K7/$Q$4</f>
        <v>0.1467602015</v>
      </c>
      <c r="L23" s="6">
        <f t="shared" si="16"/>
        <v>0.0170839186</v>
      </c>
      <c r="M23" s="12">
        <f t="shared" si="16"/>
        <v>0.01635502107</v>
      </c>
      <c r="N23" s="6">
        <f t="shared" si="16"/>
        <v>0.001589645512</v>
      </c>
      <c r="P23" s="1">
        <v>7.0</v>
      </c>
      <c r="Q23" s="6">
        <f t="shared" ref="Q23:T23" si="17">K7/$Q$6</f>
        <v>1467.602015</v>
      </c>
      <c r="R23" s="6">
        <f t="shared" si="17"/>
        <v>170.839186</v>
      </c>
      <c r="S23" s="6">
        <f t="shared" si="17"/>
        <v>163.5502107</v>
      </c>
      <c r="T23" s="6">
        <f t="shared" si="17"/>
        <v>15.89645512</v>
      </c>
      <c r="W23" s="13">
        <v>0.673380265</v>
      </c>
      <c r="Y23" s="11">
        <v>8.0</v>
      </c>
      <c r="Z23" s="6">
        <f t="shared" si="3"/>
        <v>144.8093329</v>
      </c>
      <c r="AA23" s="6">
        <f t="shared" si="4"/>
        <v>14.19056429</v>
      </c>
      <c r="AB23" s="11">
        <f t="shared" si="5"/>
        <v>0.113646304</v>
      </c>
      <c r="AC23" s="11">
        <f t="shared" si="6"/>
        <v>1274.210668</v>
      </c>
      <c r="AD23" s="11">
        <f t="shared" si="7"/>
        <v>124.8660431</v>
      </c>
    </row>
    <row r="24" ht="15.75" customHeight="1">
      <c r="A24" s="7">
        <v>28.0</v>
      </c>
      <c r="B24" s="3">
        <v>28.3234</v>
      </c>
      <c r="C24" s="4">
        <v>2.7292</v>
      </c>
      <c r="D24" s="1">
        <v>23.0</v>
      </c>
      <c r="E24" s="1">
        <v>8.0</v>
      </c>
      <c r="F24" s="5"/>
      <c r="G24" s="1"/>
      <c r="H24" s="1"/>
      <c r="I24" s="1"/>
      <c r="J24" s="1">
        <v>8.0</v>
      </c>
      <c r="K24" s="6">
        <f t="shared" ref="K24:N24" si="18">K8/$Q$4</f>
        <v>0.1612411348</v>
      </c>
      <c r="L24" s="6">
        <f t="shared" si="18"/>
        <v>0.0148482356</v>
      </c>
      <c r="M24" s="12">
        <f t="shared" si="18"/>
        <v>0.0177740775</v>
      </c>
      <c r="N24" s="6">
        <f t="shared" si="18"/>
        <v>0.00186487709</v>
      </c>
      <c r="P24" s="1">
        <v>8.0</v>
      </c>
      <c r="Q24" s="6">
        <f t="shared" ref="Q24:T24" si="19">K8/$Q$6</f>
        <v>1612.411348</v>
      </c>
      <c r="R24" s="6">
        <f t="shared" si="19"/>
        <v>148.482356</v>
      </c>
      <c r="S24" s="6">
        <f t="shared" si="19"/>
        <v>177.740775</v>
      </c>
      <c r="T24" s="6">
        <f t="shared" si="19"/>
        <v>18.6487709</v>
      </c>
      <c r="W24" s="13">
        <v>0.559733961</v>
      </c>
      <c r="Y24" s="11">
        <v>9.0</v>
      </c>
      <c r="Z24" s="6">
        <f t="shared" si="3"/>
        <v>87.18162195</v>
      </c>
      <c r="AA24" s="6">
        <f t="shared" si="4"/>
        <v>1.528009045</v>
      </c>
      <c r="AB24" s="11">
        <f t="shared" si="5"/>
        <v>0.022622596</v>
      </c>
      <c r="AC24" s="11">
        <f t="shared" si="6"/>
        <v>3853.740833</v>
      </c>
      <c r="AD24" s="11">
        <f t="shared" si="7"/>
        <v>67.54348816</v>
      </c>
    </row>
    <row r="25" ht="15.75" customHeight="1">
      <c r="A25" s="7">
        <v>30.0</v>
      </c>
      <c r="B25" s="3">
        <v>29.2132</v>
      </c>
      <c r="C25" s="1">
        <v>3.3422</v>
      </c>
      <c r="D25" s="1">
        <v>24.0</v>
      </c>
      <c r="E25" s="1">
        <v>8.0</v>
      </c>
      <c r="F25" s="5"/>
      <c r="G25" s="1"/>
      <c r="H25" s="1"/>
      <c r="I25" s="1"/>
      <c r="J25" s="1">
        <v>9.0</v>
      </c>
      <c r="K25" s="6">
        <f t="shared" ref="K25:N25" si="20">K9/$Q$4</f>
        <v>0.1699592969</v>
      </c>
      <c r="L25" s="6">
        <f t="shared" si="20"/>
        <v>0.01320670393</v>
      </c>
      <c r="M25" s="12">
        <f t="shared" si="20"/>
        <v>0.0179268784</v>
      </c>
      <c r="N25" s="6">
        <f t="shared" si="20"/>
        <v>0.002338264183</v>
      </c>
      <c r="P25" s="1">
        <v>9.0</v>
      </c>
      <c r="Q25" s="6">
        <f t="shared" ref="Q25:T25" si="21">K9/$Q$6</f>
        <v>1699.592969</v>
      </c>
      <c r="R25" s="6">
        <f t="shared" si="21"/>
        <v>132.0670393</v>
      </c>
      <c r="S25" s="6">
        <f t="shared" si="21"/>
        <v>179.268784</v>
      </c>
      <c r="T25" s="6">
        <f t="shared" si="21"/>
        <v>23.38264183</v>
      </c>
      <c r="W25" s="13">
        <v>0.537111365</v>
      </c>
      <c r="Y25" s="11">
        <v>10.0</v>
      </c>
      <c r="Z25" s="6">
        <f t="shared" si="3"/>
        <v>167.9494295</v>
      </c>
      <c r="AA25" s="6">
        <f t="shared" si="4"/>
        <v>-4.239490184</v>
      </c>
      <c r="AB25" s="11">
        <f t="shared" si="5"/>
        <v>0.024507365</v>
      </c>
      <c r="AC25" s="11">
        <f t="shared" si="6"/>
        <v>6853.018655</v>
      </c>
      <c r="AD25" s="11">
        <f t="shared" si="7"/>
        <v>-172.9884132</v>
      </c>
    </row>
    <row r="26" ht="15.75" customHeight="1">
      <c r="A26" s="7">
        <v>13.0</v>
      </c>
      <c r="B26" s="3">
        <v>31.1542</v>
      </c>
      <c r="C26" s="1">
        <v>3.2528</v>
      </c>
      <c r="D26" s="1">
        <v>25.0</v>
      </c>
      <c r="E26" s="1">
        <v>9.0</v>
      </c>
      <c r="F26" s="5"/>
      <c r="G26" s="1"/>
      <c r="H26" s="1"/>
      <c r="I26" s="1"/>
      <c r="J26" s="1">
        <v>10.0</v>
      </c>
      <c r="K26" s="6">
        <f t="shared" ref="K26:N26" si="22">K10/$Q$4</f>
        <v>0.1867542399</v>
      </c>
      <c r="L26" s="6">
        <f t="shared" si="22"/>
        <v>0.01417455401</v>
      </c>
      <c r="M26" s="12">
        <f t="shared" si="22"/>
        <v>0.01750292939</v>
      </c>
      <c r="N26" s="6">
        <f t="shared" si="22"/>
        <v>0.002214885366</v>
      </c>
      <c r="P26" s="1">
        <v>10.0</v>
      </c>
      <c r="Q26" s="6">
        <f t="shared" ref="Q26:T26" si="23">K10/$Q$6</f>
        <v>1867.542399</v>
      </c>
      <c r="R26" s="6">
        <f t="shared" si="23"/>
        <v>141.7455401</v>
      </c>
      <c r="S26" s="6">
        <f t="shared" si="23"/>
        <v>175.0292939</v>
      </c>
      <c r="T26" s="6">
        <f t="shared" si="23"/>
        <v>22.14885366</v>
      </c>
      <c r="W26" s="13">
        <v>0.512604</v>
      </c>
      <c r="Y26" s="11">
        <v>11.0</v>
      </c>
      <c r="Z26" s="6">
        <f t="shared" si="3"/>
        <v>-57.7181622</v>
      </c>
      <c r="AA26" s="6">
        <f t="shared" si="4"/>
        <v>7.297769555</v>
      </c>
      <c r="AB26" s="11">
        <f t="shared" si="5"/>
        <v>0.006896947</v>
      </c>
      <c r="AC26" s="11">
        <f t="shared" si="6"/>
        <v>-8368.653869</v>
      </c>
      <c r="AD26" s="11">
        <f t="shared" si="7"/>
        <v>1058.11594</v>
      </c>
    </row>
    <row r="27" ht="15.75" customHeight="1">
      <c r="A27" s="7">
        <v>14.0</v>
      </c>
      <c r="B27" s="3">
        <v>27.6754</v>
      </c>
      <c r="C27" s="4">
        <v>2.6293</v>
      </c>
      <c r="D27" s="1">
        <v>26.0</v>
      </c>
      <c r="E27" s="1">
        <v>9.0</v>
      </c>
      <c r="F27" s="5"/>
      <c r="G27" s="1"/>
      <c r="H27" s="1"/>
      <c r="I27" s="1"/>
      <c r="J27" s="1">
        <v>11.0</v>
      </c>
      <c r="K27" s="6">
        <f t="shared" ref="K27:N27" si="24">K11/$Q$4</f>
        <v>0.1809824237</v>
      </c>
      <c r="L27" s="6">
        <f t="shared" si="24"/>
        <v>0.03035269541</v>
      </c>
      <c r="M27" s="12">
        <f t="shared" si="24"/>
        <v>0.01823270634</v>
      </c>
      <c r="N27" s="6">
        <f t="shared" si="24"/>
        <v>0.002556369704</v>
      </c>
      <c r="P27" s="1">
        <v>11.0</v>
      </c>
      <c r="Q27" s="6">
        <f t="shared" ref="Q27:T27" si="25">K11/$Q$6</f>
        <v>1809.824237</v>
      </c>
      <c r="R27" s="6">
        <f t="shared" si="25"/>
        <v>303.5269541</v>
      </c>
      <c r="S27" s="6">
        <f t="shared" si="25"/>
        <v>182.3270634</v>
      </c>
      <c r="T27" s="6">
        <f t="shared" si="25"/>
        <v>25.56369704</v>
      </c>
      <c r="W27" s="13">
        <v>0.505707053</v>
      </c>
    </row>
    <row r="28" ht="15.75" customHeight="1">
      <c r="A28" s="7">
        <v>15.0</v>
      </c>
      <c r="B28" s="3">
        <v>32.017</v>
      </c>
      <c r="C28" s="1">
        <v>2.6322</v>
      </c>
      <c r="D28" s="1">
        <v>27.0</v>
      </c>
      <c r="E28" s="1">
        <v>9.0</v>
      </c>
      <c r="F28" s="5"/>
      <c r="K28" s="6"/>
    </row>
    <row r="29" ht="15.75" customHeight="1">
      <c r="A29" s="7">
        <v>20.0</v>
      </c>
      <c r="B29" s="3">
        <v>29.9412</v>
      </c>
      <c r="C29" s="4">
        <v>3.3613</v>
      </c>
      <c r="D29" s="1">
        <v>28.0</v>
      </c>
      <c r="E29" s="1">
        <v>10.0</v>
      </c>
      <c r="F29" s="5"/>
    </row>
    <row r="30" ht="15.75" customHeight="1">
      <c r="A30" s="7">
        <v>26.0</v>
      </c>
      <c r="B30" s="3">
        <v>24.1542</v>
      </c>
      <c r="C30" s="4">
        <v>2.5329</v>
      </c>
      <c r="D30" s="1">
        <v>29.0</v>
      </c>
      <c r="E30" s="1">
        <v>10.0</v>
      </c>
      <c r="F30" s="5"/>
      <c r="H30" s="14" t="s">
        <v>24</v>
      </c>
      <c r="K30" s="6"/>
      <c r="M30" s="10" t="s">
        <v>25</v>
      </c>
      <c r="S30" s="10" t="s">
        <v>25</v>
      </c>
    </row>
    <row r="31" ht="15.75" customHeight="1">
      <c r="A31" s="7">
        <v>27.0</v>
      </c>
      <c r="B31" s="3">
        <v>33.9435</v>
      </c>
      <c r="C31" s="4">
        <v>2.9751</v>
      </c>
      <c r="D31" s="1">
        <v>30.0</v>
      </c>
      <c r="E31" s="1">
        <v>10.0</v>
      </c>
      <c r="F31" s="5"/>
      <c r="H31" s="14" t="s">
        <v>26</v>
      </c>
      <c r="K31" s="6"/>
      <c r="M31" s="10" t="s">
        <v>27</v>
      </c>
      <c r="N31" s="11">
        <f t="array" ref="N31:O35">LINEST(Q18:Q20,P18:P20,TRUE,TRUE)</f>
        <v>378.1971426</v>
      </c>
      <c r="O31" s="11">
        <v>-682.5305786822902</v>
      </c>
      <c r="P31" s="10" t="s">
        <v>28</v>
      </c>
      <c r="R31" s="6"/>
      <c r="S31" s="10" t="s">
        <v>27</v>
      </c>
      <c r="T31" s="11">
        <f t="array" ref="T31:U35">LINEST(S18:S20,P18:P20,TRUE,TRUE)</f>
        <v>41.93113372</v>
      </c>
      <c r="U31" s="11">
        <v>-75.37225477095971</v>
      </c>
      <c r="V31" s="10" t="s">
        <v>28</v>
      </c>
    </row>
    <row r="32" ht="15.75" customHeight="1">
      <c r="A32" s="7"/>
      <c r="B32" s="7"/>
      <c r="C32" s="7"/>
      <c r="H32" s="15" t="s">
        <v>29</v>
      </c>
      <c r="I32" s="16">
        <f>AVERAGE(F36:F65)</f>
        <v>0.0770004482</v>
      </c>
      <c r="M32" s="10" t="s">
        <v>30</v>
      </c>
      <c r="N32" s="11">
        <v>1.4562828251528717</v>
      </c>
      <c r="O32" s="11">
        <v>4.527767306234632</v>
      </c>
      <c r="P32" s="10" t="s">
        <v>31</v>
      </c>
      <c r="R32" s="6"/>
      <c r="S32" s="10" t="s">
        <v>30</v>
      </c>
      <c r="T32" s="11">
        <v>0.38371331489157423</v>
      </c>
      <c r="U32" s="11">
        <v>1.193013178570314</v>
      </c>
      <c r="V32" s="10" t="s">
        <v>31</v>
      </c>
    </row>
    <row r="33" ht="15.75" customHeight="1">
      <c r="A33" s="7"/>
      <c r="B33" s="7"/>
      <c r="C33" s="7"/>
      <c r="H33" s="15" t="s">
        <v>32</v>
      </c>
      <c r="I33" s="16">
        <f>_xlfn.STDEV.S(F36:F65)</f>
        <v>0.03641712939</v>
      </c>
      <c r="M33" s="10" t="s">
        <v>33</v>
      </c>
      <c r="N33" s="11">
        <v>0.9999851731624405</v>
      </c>
      <c r="O33" s="11">
        <v>2.059494921982197</v>
      </c>
      <c r="P33" s="10" t="s">
        <v>34</v>
      </c>
      <c r="R33" s="6"/>
      <c r="S33" s="10" t="s">
        <v>33</v>
      </c>
      <c r="T33" s="11">
        <v>0.9999162655518822</v>
      </c>
      <c r="U33" s="11">
        <v>0.5426525739828023</v>
      </c>
      <c r="V33" s="10" t="s">
        <v>34</v>
      </c>
    </row>
    <row r="34" ht="15.75" customHeight="1">
      <c r="H34" s="15" t="s">
        <v>35</v>
      </c>
      <c r="I34" s="16">
        <f>VAR(F36:F65)</f>
        <v>0.001326207313</v>
      </c>
      <c r="M34" s="10" t="s">
        <v>36</v>
      </c>
      <c r="N34" s="11">
        <v>67444.26578831505</v>
      </c>
      <c r="O34" s="11">
        <v>1.0</v>
      </c>
      <c r="P34" s="10" t="s">
        <v>37</v>
      </c>
      <c r="R34" s="6"/>
      <c r="S34" s="10" t="s">
        <v>36</v>
      </c>
      <c r="T34" s="11">
        <v>11941.516162440557</v>
      </c>
      <c r="U34" s="11">
        <v>1.0</v>
      </c>
      <c r="V34" s="10" t="s">
        <v>37</v>
      </c>
    </row>
    <row r="35" ht="15.75" customHeight="1">
      <c r="A35" s="1" t="s">
        <v>4</v>
      </c>
      <c r="B35" s="1" t="s">
        <v>38</v>
      </c>
      <c r="C35" s="1" t="s">
        <v>4</v>
      </c>
      <c r="D35" s="1" t="s">
        <v>39</v>
      </c>
      <c r="E35" s="17" t="s">
        <v>40</v>
      </c>
      <c r="F35" s="14" t="s">
        <v>41</v>
      </c>
      <c r="M35" s="10" t="s">
        <v>42</v>
      </c>
      <c r="N35" s="11">
        <v>286066.15728634724</v>
      </c>
      <c r="O35" s="11">
        <v>4.241519333670457</v>
      </c>
      <c r="P35" s="10" t="s">
        <v>43</v>
      </c>
      <c r="R35" s="6"/>
      <c r="S35" s="10" t="s">
        <v>42</v>
      </c>
      <c r="T35" s="11">
        <v>3516.4399507462167</v>
      </c>
      <c r="U35" s="11">
        <v>0.2944718160501607</v>
      </c>
      <c r="V35" s="10" t="s">
        <v>43</v>
      </c>
    </row>
    <row r="36" ht="15.75" customHeight="1">
      <c r="A36" s="1">
        <v>1.0</v>
      </c>
      <c r="B36" s="3">
        <f t="shared" ref="B36:B65" si="26">B2/$Q$6</f>
        <v>73.39500463</v>
      </c>
      <c r="C36" s="1">
        <v>1.0</v>
      </c>
      <c r="D36" s="4">
        <f>$C$2/$Q$6</f>
        <v>8.004933703</v>
      </c>
      <c r="E36" s="18" t="s">
        <v>44</v>
      </c>
      <c r="F36" s="19">
        <f t="shared" ref="F36:F65" si="27">B2/E36</f>
        <v>0.00565341314</v>
      </c>
      <c r="G36" s="15" t="s">
        <v>29</v>
      </c>
      <c r="H36" s="15">
        <f>AVERAGE(F36:F38)</f>
        <v>0.005628260644</v>
      </c>
      <c r="I36" s="16"/>
      <c r="J36" s="16"/>
      <c r="R36" s="6"/>
    </row>
    <row r="37" ht="15.75" customHeight="1">
      <c r="A37" s="1">
        <v>1.0</v>
      </c>
      <c r="B37" s="3">
        <f t="shared" si="26"/>
        <v>35.64600678</v>
      </c>
      <c r="C37" s="1">
        <v>1.0</v>
      </c>
      <c r="D37" s="4">
        <f>$C$3/$Q$6</f>
        <v>3.903792784</v>
      </c>
      <c r="E37" s="18" t="s">
        <v>45</v>
      </c>
      <c r="F37" s="19">
        <f t="shared" si="27"/>
        <v>0.002607714866</v>
      </c>
      <c r="G37" s="15" t="s">
        <v>32</v>
      </c>
      <c r="H37" s="15">
        <f>_xlfn.STDEV.S(F36:F38)</f>
        <v>0.003008048401</v>
      </c>
      <c r="I37" s="16"/>
      <c r="J37" s="16"/>
      <c r="M37" s="10" t="s">
        <v>46</v>
      </c>
      <c r="R37" s="6"/>
      <c r="S37" s="10" t="s">
        <v>46</v>
      </c>
    </row>
    <row r="38" ht="15.75" customHeight="1">
      <c r="A38" s="1">
        <v>1.0</v>
      </c>
      <c r="B38" s="3">
        <f t="shared" si="26"/>
        <v>115.0724638</v>
      </c>
      <c r="C38" s="1">
        <v>1.0</v>
      </c>
      <c r="D38" s="4">
        <f>$C$4/$Q$6</f>
        <v>12.89670059</v>
      </c>
      <c r="E38" s="18" t="s">
        <v>47</v>
      </c>
      <c r="F38" s="19">
        <f t="shared" si="27"/>
        <v>0.008623653926</v>
      </c>
      <c r="G38" s="15"/>
      <c r="H38" s="15"/>
      <c r="I38" s="16"/>
      <c r="J38" s="16"/>
      <c r="M38" s="10" t="s">
        <v>27</v>
      </c>
      <c r="N38" s="11">
        <f t="array" ref="N38:O42">LINEST(Q20:Q23,P20:P23,TRUE,TRUE)</f>
        <v>208.2470963</v>
      </c>
      <c r="O38" s="11">
        <v>-17.18038852913969</v>
      </c>
      <c r="P38" s="10" t="s">
        <v>28</v>
      </c>
      <c r="R38" s="6"/>
      <c r="S38" s="10" t="s">
        <v>27</v>
      </c>
      <c r="T38" s="11">
        <f t="array" ref="T38:U42">LINEST(S20:S23,P20:P23,TRUE,TRUE)</f>
        <v>24.38400658</v>
      </c>
      <c r="U38" s="11">
        <v>-6.446294583204789</v>
      </c>
      <c r="V38" s="10" t="s">
        <v>28</v>
      </c>
    </row>
    <row r="39" ht="15.75" customHeight="1">
      <c r="A39" s="1">
        <v>2.0</v>
      </c>
      <c r="B39" s="3">
        <f t="shared" si="26"/>
        <v>390.7801418</v>
      </c>
      <c r="C39" s="1">
        <v>2.0</v>
      </c>
      <c r="D39" s="4">
        <f t="shared" ref="D39:D65" si="28">C5/$Q$6</f>
        <v>44.92753623</v>
      </c>
      <c r="E39" s="18" t="s">
        <v>48</v>
      </c>
      <c r="F39" s="19">
        <f t="shared" si="27"/>
        <v>0.02584954922</v>
      </c>
      <c r="G39" s="15" t="s">
        <v>29</v>
      </c>
      <c r="H39" s="15">
        <f>AVERAGE(F39:F41)</f>
        <v>0.03484900624</v>
      </c>
      <c r="I39" s="16"/>
      <c r="J39" s="16"/>
      <c r="M39" s="10" t="s">
        <v>30</v>
      </c>
      <c r="N39" s="11">
        <v>15.762899358888893</v>
      </c>
      <c r="O39" s="11">
        <v>88.46905323474128</v>
      </c>
      <c r="P39" s="10" t="s">
        <v>31</v>
      </c>
      <c r="R39" s="6"/>
      <c r="S39" s="10" t="s">
        <v>30</v>
      </c>
      <c r="T39" s="11">
        <v>1.2300737675887508</v>
      </c>
      <c r="U39" s="11">
        <v>6.903771898162952</v>
      </c>
      <c r="V39" s="10" t="s">
        <v>31</v>
      </c>
    </row>
    <row r="40" ht="15.75" customHeight="1">
      <c r="A40" s="1">
        <v>2.0</v>
      </c>
      <c r="B40" s="3">
        <f t="shared" si="26"/>
        <v>448.1036078</v>
      </c>
      <c r="C40" s="1">
        <v>2.0</v>
      </c>
      <c r="D40" s="4">
        <f t="shared" si="28"/>
        <v>50.91520197</v>
      </c>
      <c r="E40" s="18" t="s">
        <v>49</v>
      </c>
      <c r="F40" s="19">
        <f t="shared" si="27"/>
        <v>0.03742852728</v>
      </c>
      <c r="G40" s="15" t="s">
        <v>32</v>
      </c>
      <c r="H40" s="15">
        <f>_xlfn.STDEV.S(F39:F41)</f>
        <v>0.008026821706</v>
      </c>
      <c r="I40" s="16"/>
      <c r="J40" s="16"/>
      <c r="M40" s="10" t="s">
        <v>33</v>
      </c>
      <c r="N40" s="11">
        <v>0.9886708836656176</v>
      </c>
      <c r="O40" s="11">
        <v>35.24691448896342</v>
      </c>
      <c r="P40" s="10" t="s">
        <v>34</v>
      </c>
      <c r="R40" s="6"/>
      <c r="S40" s="10" t="s">
        <v>33</v>
      </c>
      <c r="T40" s="11">
        <v>0.9949361899772071</v>
      </c>
      <c r="U40" s="11">
        <v>2.7505285616677244</v>
      </c>
      <c r="V40" s="10" t="s">
        <v>34</v>
      </c>
    </row>
    <row r="41" ht="15.75" customHeight="1">
      <c r="A41" s="1">
        <v>2.0</v>
      </c>
      <c r="B41" s="3">
        <f t="shared" si="26"/>
        <v>512.2540857</v>
      </c>
      <c r="C41" s="1">
        <v>2.0</v>
      </c>
      <c r="D41" s="4">
        <f t="shared" si="28"/>
        <v>56.74992291</v>
      </c>
      <c r="E41" s="18" t="s">
        <v>50</v>
      </c>
      <c r="F41" s="19">
        <f t="shared" si="27"/>
        <v>0.04126894222</v>
      </c>
      <c r="G41" s="15"/>
      <c r="H41" s="15"/>
      <c r="I41" s="16"/>
      <c r="J41" s="16"/>
      <c r="M41" s="10" t="s">
        <v>36</v>
      </c>
      <c r="N41" s="11">
        <v>174.53627529009063</v>
      </c>
      <c r="O41" s="11">
        <v>2.0</v>
      </c>
      <c r="P41" s="10" t="s">
        <v>37</v>
      </c>
      <c r="R41" s="6"/>
      <c r="S41" s="10" t="s">
        <v>36</v>
      </c>
      <c r="T41" s="11">
        <v>392.9595247447564</v>
      </c>
      <c r="U41" s="11">
        <v>2.0</v>
      </c>
      <c r="V41" s="10" t="s">
        <v>37</v>
      </c>
    </row>
    <row r="42" ht="15.75" customHeight="1">
      <c r="A42" s="1">
        <v>3.0</v>
      </c>
      <c r="B42" s="3">
        <f t="shared" si="26"/>
        <v>779.8704903</v>
      </c>
      <c r="C42" s="1">
        <v>3.0</v>
      </c>
      <c r="D42" s="4">
        <f t="shared" si="28"/>
        <v>85.38390379</v>
      </c>
      <c r="E42" s="18" t="s">
        <v>51</v>
      </c>
      <c r="F42" s="19">
        <f t="shared" si="27"/>
        <v>0.05744866436</v>
      </c>
      <c r="G42" s="15" t="s">
        <v>29</v>
      </c>
      <c r="H42" s="15">
        <f>AVERAGE(F42:F44)</f>
        <v>0.06210580083</v>
      </c>
      <c r="I42" s="16"/>
      <c r="J42" s="16"/>
      <c r="M42" s="10" t="s">
        <v>42</v>
      </c>
      <c r="N42" s="11">
        <v>216834.26560773439</v>
      </c>
      <c r="O42" s="11">
        <v>2484.689961984599</v>
      </c>
      <c r="P42" s="10" t="s">
        <v>43</v>
      </c>
      <c r="R42" s="6">
        <f t="shared" ref="R42:R47" si="29">Q28-Q29</f>
        <v>0</v>
      </c>
      <c r="S42" s="10" t="s">
        <v>42</v>
      </c>
      <c r="T42" s="11">
        <v>2972.8988840458546</v>
      </c>
      <c r="U42" s="11">
        <v>15.13081473709984</v>
      </c>
      <c r="V42" s="10" t="s">
        <v>43</v>
      </c>
    </row>
    <row r="43" ht="15.75" customHeight="1">
      <c r="A43" s="1">
        <v>3.0</v>
      </c>
      <c r="B43" s="3">
        <f t="shared" si="26"/>
        <v>921.7452976</v>
      </c>
      <c r="C43" s="1">
        <v>3.0</v>
      </c>
      <c r="D43" s="4">
        <f t="shared" si="28"/>
        <v>103.5831021</v>
      </c>
      <c r="E43" s="18" t="s">
        <v>52</v>
      </c>
      <c r="F43" s="19">
        <f t="shared" si="27"/>
        <v>0.06318902465</v>
      </c>
      <c r="G43" s="15" t="s">
        <v>32</v>
      </c>
      <c r="H43" s="15">
        <f>_xlfn.STDEV.S(F42:F44)</f>
        <v>0.004221086681</v>
      </c>
      <c r="I43" s="16"/>
      <c r="J43" s="16"/>
      <c r="R43" s="6">
        <f t="shared" si="29"/>
        <v>0</v>
      </c>
    </row>
    <row r="44" ht="15.75" customHeight="1">
      <c r="A44" s="1">
        <v>3.0</v>
      </c>
      <c r="B44" s="3">
        <f t="shared" si="26"/>
        <v>791.6805427</v>
      </c>
      <c r="C44" s="1">
        <v>3.0</v>
      </c>
      <c r="D44" s="4">
        <f t="shared" si="28"/>
        <v>87.42522356</v>
      </c>
      <c r="E44" s="18" t="s">
        <v>53</v>
      </c>
      <c r="F44" s="19">
        <f t="shared" si="27"/>
        <v>0.06567971348</v>
      </c>
      <c r="G44" s="15"/>
      <c r="H44" s="15"/>
      <c r="I44" s="16"/>
      <c r="J44" s="16"/>
      <c r="M44" s="10" t="s">
        <v>54</v>
      </c>
      <c r="R44" s="6">
        <f t="shared" si="29"/>
        <v>0</v>
      </c>
      <c r="S44" s="10" t="s">
        <v>54</v>
      </c>
    </row>
    <row r="45" ht="15.75" customHeight="1">
      <c r="A45" s="1">
        <v>4.0</v>
      </c>
      <c r="B45" s="3">
        <f t="shared" si="26"/>
        <v>1170.151095</v>
      </c>
      <c r="C45" s="1">
        <v>4.0</v>
      </c>
      <c r="D45" s="4">
        <f t="shared" si="28"/>
        <v>128.5723096</v>
      </c>
      <c r="E45" s="18" t="s">
        <v>55</v>
      </c>
      <c r="F45" s="19">
        <f t="shared" si="27"/>
        <v>0.08128346828</v>
      </c>
      <c r="G45" s="15" t="s">
        <v>29</v>
      </c>
      <c r="H45" s="15">
        <f>AVERAGE(F45:F47)</f>
        <v>0.07152126021</v>
      </c>
      <c r="I45" s="16"/>
      <c r="J45" s="16"/>
      <c r="M45" s="10" t="s">
        <v>27</v>
      </c>
      <c r="N45" s="11">
        <f t="array" ref="N45:O49">LINEST(Q23:Q27,P23:P27,TRUE,TRUE)</f>
        <v>93.95754959</v>
      </c>
      <c r="O45" s="11">
        <v>845.7766471374248</v>
      </c>
      <c r="P45" s="10" t="s">
        <v>28</v>
      </c>
      <c r="R45" s="6">
        <f t="shared" si="29"/>
        <v>0</v>
      </c>
      <c r="S45" s="10" t="s">
        <v>27</v>
      </c>
      <c r="T45" s="11">
        <f t="array" ref="T45:U49">LINEST(S23:S27,P23:P27,TRUE,TRUE)</f>
        <v>3.484222428</v>
      </c>
      <c r="U45" s="11">
        <v>144.22522355843347</v>
      </c>
      <c r="V45" s="10" t="s">
        <v>28</v>
      </c>
    </row>
    <row r="46" ht="15.75" customHeight="1">
      <c r="A46" s="1">
        <v>4.0</v>
      </c>
      <c r="B46" s="3">
        <f t="shared" si="26"/>
        <v>933.5121801</v>
      </c>
      <c r="C46" s="1">
        <v>4.0</v>
      </c>
      <c r="D46" s="4">
        <f t="shared" si="28"/>
        <v>103.5029294</v>
      </c>
      <c r="E46" s="18" t="s">
        <v>56</v>
      </c>
      <c r="F46" s="19">
        <f t="shared" si="27"/>
        <v>0.06383914639</v>
      </c>
      <c r="G46" s="15" t="s">
        <v>32</v>
      </c>
      <c r="H46" s="15">
        <f>_xlfn.STDEV.S(F45:F47)</f>
        <v>0.008906244193</v>
      </c>
      <c r="I46" s="16"/>
      <c r="J46" s="16"/>
      <c r="M46" s="10" t="s">
        <v>30</v>
      </c>
      <c r="N46" s="11">
        <v>20.946044522072658</v>
      </c>
      <c r="O46" s="11">
        <v>190.82754736414225</v>
      </c>
      <c r="P46" s="10" t="s">
        <v>31</v>
      </c>
      <c r="R46" s="6">
        <f t="shared" si="29"/>
        <v>0</v>
      </c>
      <c r="S46" s="10" t="s">
        <v>30</v>
      </c>
      <c r="T46" s="11">
        <v>1.7070436184837094</v>
      </c>
      <c r="U46" s="11">
        <v>15.551907502897977</v>
      </c>
      <c r="V46" s="10" t="s">
        <v>31</v>
      </c>
    </row>
    <row r="47" ht="15.75" customHeight="1">
      <c r="A47" s="1">
        <v>4.0</v>
      </c>
      <c r="B47" s="3">
        <f t="shared" si="26"/>
        <v>957.9155103</v>
      </c>
      <c r="C47" s="1">
        <v>4.0</v>
      </c>
      <c r="D47" s="4">
        <f t="shared" si="28"/>
        <v>106.0252852</v>
      </c>
      <c r="E47" s="18" t="s">
        <v>57</v>
      </c>
      <c r="F47" s="19">
        <f t="shared" si="27"/>
        <v>0.06944116595</v>
      </c>
      <c r="G47" s="15"/>
      <c r="H47" s="15"/>
      <c r="I47" s="16"/>
      <c r="J47" s="16"/>
      <c r="M47" s="10" t="s">
        <v>33</v>
      </c>
      <c r="N47" s="11">
        <v>0.8702503637288783</v>
      </c>
      <c r="O47" s="11">
        <v>66.23720866104262</v>
      </c>
      <c r="P47" s="10" t="s">
        <v>34</v>
      </c>
      <c r="R47" s="6">
        <f t="shared" si="29"/>
        <v>0</v>
      </c>
      <c r="S47" s="10" t="s">
        <v>33</v>
      </c>
      <c r="T47" s="11">
        <v>0.5813582218343222</v>
      </c>
      <c r="U47" s="11">
        <v>5.398145899664028</v>
      </c>
      <c r="V47" s="10" t="s">
        <v>34</v>
      </c>
    </row>
    <row r="48" ht="15.75" customHeight="1">
      <c r="A48" s="1">
        <v>5.0</v>
      </c>
      <c r="B48" s="3">
        <f t="shared" si="26"/>
        <v>1170.101758</v>
      </c>
      <c r="C48" s="1">
        <v>5.0</v>
      </c>
      <c r="D48" s="4">
        <f t="shared" si="28"/>
        <v>147.8199198</v>
      </c>
      <c r="E48" s="18" t="s">
        <v>58</v>
      </c>
      <c r="F48" s="19">
        <f t="shared" si="27"/>
        <v>0.07317084458</v>
      </c>
      <c r="G48" s="15" t="s">
        <v>29</v>
      </c>
      <c r="H48" s="15">
        <f>AVERAGE(F48:F50)</f>
        <v>0.07438467222</v>
      </c>
      <c r="I48" s="16"/>
      <c r="J48" s="16"/>
      <c r="M48" s="10" t="s">
        <v>36</v>
      </c>
      <c r="N48" s="11">
        <v>20.121452099729005</v>
      </c>
      <c r="O48" s="11">
        <v>3.0</v>
      </c>
      <c r="P48" s="10" t="s">
        <v>37</v>
      </c>
      <c r="S48" s="10" t="s">
        <v>36</v>
      </c>
      <c r="T48" s="11">
        <v>4.1660310949968</v>
      </c>
      <c r="U48" s="11">
        <v>3.0</v>
      </c>
      <c r="V48" s="10" t="s">
        <v>37</v>
      </c>
    </row>
    <row r="49" ht="15.75" customHeight="1">
      <c r="A49" s="1">
        <v>5.0</v>
      </c>
      <c r="B49" s="3">
        <f t="shared" si="26"/>
        <v>1078.908418</v>
      </c>
      <c r="C49" s="1">
        <v>5.0</v>
      </c>
      <c r="D49" s="4">
        <f t="shared" si="28"/>
        <v>125.871107</v>
      </c>
      <c r="E49" s="18" t="s">
        <v>59</v>
      </c>
      <c r="F49" s="19">
        <f t="shared" si="27"/>
        <v>0.08329127785</v>
      </c>
      <c r="G49" s="15" t="s">
        <v>32</v>
      </c>
      <c r="H49" s="15">
        <f>_xlfn.STDEV.S(F48:F50)</f>
        <v>0.008365997688</v>
      </c>
      <c r="I49" s="16"/>
      <c r="J49" s="16"/>
      <c r="M49" s="10" t="s">
        <v>42</v>
      </c>
      <c r="N49" s="11">
        <v>88280.21125708446</v>
      </c>
      <c r="O49" s="11">
        <v>13162.103433619497</v>
      </c>
      <c r="P49" s="10" t="s">
        <v>43</v>
      </c>
      <c r="S49" s="10" t="s">
        <v>42</v>
      </c>
      <c r="T49" s="11">
        <v>121.39805926337068</v>
      </c>
      <c r="U49" s="11">
        <v>87.41993746217868</v>
      </c>
      <c r="V49" s="10" t="s">
        <v>43</v>
      </c>
    </row>
    <row r="50" ht="15.75" customHeight="1">
      <c r="A50" s="1">
        <v>5.0</v>
      </c>
      <c r="B50" s="3">
        <f t="shared" si="26"/>
        <v>1331.452359</v>
      </c>
      <c r="C50" s="1">
        <v>5.0</v>
      </c>
      <c r="D50" s="4">
        <f t="shared" si="28"/>
        <v>153.1544866</v>
      </c>
      <c r="E50" s="18" t="s">
        <v>60</v>
      </c>
      <c r="F50" s="19">
        <f t="shared" si="27"/>
        <v>0.06669189423</v>
      </c>
      <c r="G50" s="15"/>
      <c r="H50" s="15"/>
      <c r="I50" s="16"/>
      <c r="J50" s="16"/>
    </row>
    <row r="51" ht="15.75" customHeight="1">
      <c r="A51" s="1">
        <v>6.0</v>
      </c>
      <c r="B51" s="3">
        <f t="shared" si="26"/>
        <v>1297.63799</v>
      </c>
      <c r="C51" s="1">
        <v>6.0</v>
      </c>
      <c r="D51" s="4">
        <f t="shared" si="28"/>
        <v>149.02251</v>
      </c>
      <c r="E51" s="18" t="s">
        <v>61</v>
      </c>
      <c r="F51" s="19">
        <f t="shared" si="27"/>
        <v>0.08513534291</v>
      </c>
      <c r="G51" s="15" t="s">
        <v>29</v>
      </c>
      <c r="H51" s="15">
        <f>AVERAGE(F51:F53)</f>
        <v>0.09478765039</v>
      </c>
      <c r="I51" s="16"/>
      <c r="J51" s="16"/>
    </row>
    <row r="52" ht="15.75" customHeight="1">
      <c r="A52" s="1">
        <v>6.0</v>
      </c>
      <c r="B52" s="3">
        <f t="shared" si="26"/>
        <v>1639.303114</v>
      </c>
      <c r="C52" s="1">
        <v>6.0</v>
      </c>
      <c r="D52" s="4">
        <f t="shared" si="28"/>
        <v>180.5303731</v>
      </c>
      <c r="E52" s="18" t="s">
        <v>62</v>
      </c>
      <c r="F52" s="19">
        <f t="shared" si="27"/>
        <v>0.09896608213</v>
      </c>
      <c r="G52" s="15" t="s">
        <v>32</v>
      </c>
      <c r="H52" s="15">
        <f>_xlfn.STDEV.S(F51:F53)</f>
        <v>0.008384200832</v>
      </c>
      <c r="I52" s="16"/>
      <c r="J52" s="16"/>
    </row>
    <row r="53" ht="15.75" customHeight="1">
      <c r="A53" s="1">
        <v>6.0</v>
      </c>
      <c r="B53" s="3">
        <f t="shared" si="26"/>
        <v>1465.86494</v>
      </c>
      <c r="C53" s="1">
        <v>6.0</v>
      </c>
      <c r="D53" s="4">
        <f t="shared" si="28"/>
        <v>161.097749</v>
      </c>
      <c r="E53" s="18" t="s">
        <v>63</v>
      </c>
      <c r="F53" s="19">
        <f t="shared" si="27"/>
        <v>0.1002615261</v>
      </c>
      <c r="G53" s="15"/>
      <c r="H53" s="15"/>
      <c r="I53" s="16"/>
      <c r="J53" s="16"/>
    </row>
    <row r="54" ht="15.75" customHeight="1">
      <c r="A54" s="1">
        <v>7.0</v>
      </c>
      <c r="B54" s="3">
        <f t="shared" si="26"/>
        <v>1470.468702</v>
      </c>
      <c r="C54" s="1">
        <v>7.0</v>
      </c>
      <c r="D54" s="4">
        <f t="shared" si="28"/>
        <v>162.1399938</v>
      </c>
      <c r="E54" s="18" t="s">
        <v>64</v>
      </c>
      <c r="F54" s="19">
        <f t="shared" si="27"/>
        <v>0.08092194129</v>
      </c>
      <c r="G54" s="15" t="s">
        <v>29</v>
      </c>
      <c r="H54" s="15">
        <f>AVERAGE(F54:F56)</f>
        <v>0.1019426448</v>
      </c>
      <c r="I54" s="16"/>
      <c r="J54" s="16"/>
    </row>
    <row r="55" ht="15.75" customHeight="1">
      <c r="A55" s="1">
        <v>7.0</v>
      </c>
      <c r="B55" s="3">
        <f t="shared" si="26"/>
        <v>1766.666667</v>
      </c>
      <c r="C55" s="1">
        <v>7.0</v>
      </c>
      <c r="D55" s="4">
        <f t="shared" si="28"/>
        <v>193.9068763</v>
      </c>
      <c r="E55" s="18" t="s">
        <v>65</v>
      </c>
      <c r="F55" s="19">
        <f t="shared" si="27"/>
        <v>0.1278804518</v>
      </c>
      <c r="G55" s="15" t="s">
        <v>32</v>
      </c>
      <c r="H55" s="15">
        <f>_xlfn.STDEV.S(F54:F56)</f>
        <v>0.02386228942</v>
      </c>
      <c r="I55" s="16"/>
      <c r="J55" s="16"/>
    </row>
    <row r="56" ht="15.75" customHeight="1">
      <c r="A56" s="1">
        <v>7.0</v>
      </c>
      <c r="B56" s="3">
        <f t="shared" si="26"/>
        <v>1600.098674</v>
      </c>
      <c r="C56" s="1">
        <v>7.0</v>
      </c>
      <c r="D56" s="4">
        <f t="shared" si="28"/>
        <v>177.1754548</v>
      </c>
      <c r="E56" s="18" t="s">
        <v>66</v>
      </c>
      <c r="F56" s="19">
        <f t="shared" si="27"/>
        <v>0.0970255413</v>
      </c>
      <c r="G56" s="15"/>
      <c r="H56" s="15"/>
      <c r="I56" s="16"/>
      <c r="J56" s="16"/>
    </row>
    <row r="57" ht="15.75" customHeight="1">
      <c r="A57" s="1">
        <v>8.0</v>
      </c>
      <c r="B57" s="3">
        <f t="shared" si="26"/>
        <v>1550.422448</v>
      </c>
      <c r="C57" s="1">
        <v>8.0</v>
      </c>
      <c r="D57" s="4">
        <f t="shared" si="28"/>
        <v>163.3752698</v>
      </c>
      <c r="E57" s="18" t="s">
        <v>67</v>
      </c>
      <c r="F57" s="19">
        <f t="shared" si="27"/>
        <v>0.08505057681</v>
      </c>
      <c r="G57" s="15" t="s">
        <v>29</v>
      </c>
      <c r="H57" s="15">
        <f>AVERAGE(F57:F59)</f>
        <v>0.1034147938</v>
      </c>
      <c r="I57" s="16"/>
      <c r="J57" s="16"/>
    </row>
    <row r="58" ht="15.75" customHeight="1">
      <c r="A58" s="1">
        <v>8.0</v>
      </c>
      <c r="B58" s="3">
        <f t="shared" si="26"/>
        <v>1746.740672</v>
      </c>
      <c r="C58" s="1">
        <v>8.0</v>
      </c>
      <c r="D58" s="4">
        <f t="shared" si="28"/>
        <v>168.3132902</v>
      </c>
      <c r="E58" s="18" t="s">
        <v>68</v>
      </c>
      <c r="F58" s="19">
        <f t="shared" si="27"/>
        <v>0.1205507555</v>
      </c>
      <c r="G58" s="15" t="s">
        <v>32</v>
      </c>
      <c r="H58" s="15">
        <f>_xlfn.STDEV.S(F57:F59)</f>
        <v>0.01778193267</v>
      </c>
      <c r="I58" s="16"/>
      <c r="J58" s="16"/>
    </row>
    <row r="59" ht="15.75" customHeight="1">
      <c r="A59" s="1">
        <v>8.0</v>
      </c>
      <c r="B59" s="3">
        <f t="shared" si="26"/>
        <v>1801.615788</v>
      </c>
      <c r="C59" s="1">
        <v>8.0</v>
      </c>
      <c r="D59" s="4">
        <f t="shared" si="28"/>
        <v>206.1177922</v>
      </c>
      <c r="E59" s="18" t="s">
        <v>69</v>
      </c>
      <c r="F59" s="19">
        <f t="shared" si="27"/>
        <v>0.104643049</v>
      </c>
      <c r="G59" s="15"/>
      <c r="H59" s="15"/>
      <c r="I59" s="16"/>
      <c r="J59" s="16"/>
    </row>
    <row r="60" ht="15.75" customHeight="1">
      <c r="A60" s="1">
        <v>9.0</v>
      </c>
      <c r="B60" s="3">
        <f t="shared" si="26"/>
        <v>1921.319766</v>
      </c>
      <c r="C60" s="1">
        <v>9.0</v>
      </c>
      <c r="D60" s="4">
        <f t="shared" si="28"/>
        <v>200.6043787</v>
      </c>
      <c r="E60" s="18" t="s">
        <v>70</v>
      </c>
      <c r="F60" s="19">
        <f t="shared" si="27"/>
        <v>0.1132015552</v>
      </c>
      <c r="G60" s="15" t="s">
        <v>29</v>
      </c>
      <c r="H60" s="15">
        <f>AVERAGE(F60:F62)</f>
        <v>0.1064661292</v>
      </c>
      <c r="I60" s="16"/>
      <c r="J60" s="16"/>
    </row>
    <row r="61" ht="15.75" customHeight="1">
      <c r="A61" s="1">
        <v>9.0</v>
      </c>
      <c r="B61" s="3">
        <f t="shared" si="26"/>
        <v>1706.777675</v>
      </c>
      <c r="C61" s="1">
        <v>9.0</v>
      </c>
      <c r="D61" s="4">
        <f t="shared" si="28"/>
        <v>162.1523281</v>
      </c>
      <c r="E61" s="18" t="s">
        <v>71</v>
      </c>
      <c r="F61" s="19">
        <f t="shared" si="27"/>
        <v>0.08331446806</v>
      </c>
      <c r="G61" s="15" t="s">
        <v>32</v>
      </c>
      <c r="H61" s="15">
        <f>_xlfn.STDEV.S(F60:F62)</f>
        <v>0.02062593209</v>
      </c>
      <c r="I61" s="16"/>
      <c r="J61" s="16"/>
    </row>
    <row r="62" ht="15.75" customHeight="1">
      <c r="A62" s="1">
        <v>9.0</v>
      </c>
      <c r="B62" s="3">
        <f t="shared" si="26"/>
        <v>1974.529756</v>
      </c>
      <c r="C62" s="1">
        <v>9.0</v>
      </c>
      <c r="D62" s="4">
        <f t="shared" si="28"/>
        <v>162.3311748</v>
      </c>
      <c r="E62" s="18" t="s">
        <v>72</v>
      </c>
      <c r="F62" s="19">
        <f t="shared" si="27"/>
        <v>0.1228823642</v>
      </c>
      <c r="G62" s="15"/>
      <c r="H62" s="15"/>
      <c r="I62" s="16"/>
      <c r="J62" s="16"/>
    </row>
    <row r="63" ht="15.75" customHeight="1">
      <c r="A63" s="1">
        <v>10.0</v>
      </c>
      <c r="B63" s="3">
        <f t="shared" si="26"/>
        <v>1846.512488</v>
      </c>
      <c r="C63" s="1">
        <v>10.0</v>
      </c>
      <c r="D63" s="4">
        <f t="shared" si="28"/>
        <v>207.2957138</v>
      </c>
      <c r="E63" s="18" t="s">
        <v>73</v>
      </c>
      <c r="F63" s="19">
        <f t="shared" si="27"/>
        <v>0.1067498574</v>
      </c>
      <c r="G63" s="15" t="s">
        <v>29</v>
      </c>
      <c r="H63" s="15">
        <f>AVERAGE(F63:F65)</f>
        <v>0.1149042638</v>
      </c>
      <c r="I63" s="16"/>
      <c r="J63" s="16"/>
    </row>
    <row r="64" ht="15.75" customHeight="1">
      <c r="A64" s="1">
        <v>10.0</v>
      </c>
      <c r="B64" s="3">
        <f t="shared" si="26"/>
        <v>1489.620722</v>
      </c>
      <c r="C64" s="1">
        <v>10.0</v>
      </c>
      <c r="D64" s="4">
        <f t="shared" si="28"/>
        <v>156.2072155</v>
      </c>
      <c r="E64" s="18" t="s">
        <v>74</v>
      </c>
      <c r="F64" s="19">
        <f t="shared" si="27"/>
        <v>0.08812185334</v>
      </c>
      <c r="G64" s="15" t="s">
        <v>32</v>
      </c>
      <c r="H64" s="15">
        <f>_xlfn.STDEV.S(F63:F65)</f>
        <v>0.03165732953</v>
      </c>
      <c r="I64" s="16"/>
      <c r="J64" s="16"/>
    </row>
    <row r="65" ht="15.75" customHeight="1">
      <c r="A65" s="1">
        <v>10.0</v>
      </c>
      <c r="B65" s="3">
        <f t="shared" si="26"/>
        <v>2093.3395</v>
      </c>
      <c r="C65" s="1">
        <v>10.0</v>
      </c>
      <c r="D65" s="4">
        <f t="shared" si="28"/>
        <v>183.4782609</v>
      </c>
      <c r="E65" s="18" t="s">
        <v>75</v>
      </c>
      <c r="F65" s="19">
        <f t="shared" si="27"/>
        <v>0.1498410807</v>
      </c>
      <c r="G65" s="15"/>
      <c r="H65" s="15"/>
      <c r="I65" s="16"/>
      <c r="J65" s="16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31"/>
  <hyperlinks>
    <hyperlink r:id="rId1" ref="P4"/>
    <hyperlink r:id="rId2" ref="P6"/>
  </hyperlinks>
  <printOptions/>
  <pageMargins bottom="0.75" footer="0.0" header="0.0" left="0.7" right="0.7" top="0.75"/>
  <pageSetup orientation="landscape"/>
  <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2025-04-22T12:09:04Z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44d03f38-ddde-48b8-a029-308fbdfd439d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